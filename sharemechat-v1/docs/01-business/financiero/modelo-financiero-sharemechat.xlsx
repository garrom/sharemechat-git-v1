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esimista mes a mes" sheetId="2" state="visible" r:id="rId2"/>
    <sheet xmlns:r="http://schemas.openxmlformats.org/officeDocument/2006/relationships" name="Normal mes a mes" sheetId="3" state="visible" r:id="rId3"/>
    <sheet xmlns:r="http://schemas.openxmlformats.org/officeDocument/2006/relationships" name="Supues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FFFFFF"/>
      <sz val="12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B50A0A"/>
      </patternFill>
    </fill>
    <fill>
      <patternFill patternType="solid">
        <fgColor rgb="00F8F8F8"/>
      </patternFill>
    </fill>
    <fill>
      <patternFill patternType="solid">
        <fgColor rgb="00FFF4B8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Modelo financiero SharemeChat — Resumen ejecutivo</t>
        </is>
      </c>
    </row>
    <row r="3" ht="32" customHeight="1">
      <c r="A3" s="2" t="inlineStr">
        <is>
          <t>Estos son los números que salen del modelo cuando lo cruzas con el plan SEO. Sin capital inicial, cada mes negativo lo cubre Alain personalmente.</t>
        </is>
      </c>
    </row>
    <row r="5" ht="26" customHeight="1">
      <c r="A5" s="3" t="inlineStr">
        <is>
          <t>Concepto</t>
        </is>
      </c>
      <c r="B5" s="3" t="inlineStr">
        <is>
          <t>Pesimista</t>
        </is>
      </c>
      <c r="C5" s="3" t="inlineStr">
        <is>
          <t>Normal</t>
        </is>
      </c>
    </row>
    <row r="6" ht="22" customHeight="1">
      <c r="A6" s="4" t="inlineStr">
        <is>
          <t>Revenue acumulado 18 meses</t>
        </is>
      </c>
      <c r="B6" s="5" t="inlineStr">
        <is>
          <t>490 €</t>
        </is>
      </c>
      <c r="C6" s="5" t="inlineStr">
        <is>
          <t>7823 €</t>
        </is>
      </c>
    </row>
    <row r="7" ht="22" customHeight="1">
      <c r="A7" s="4" t="inlineStr">
        <is>
          <t>Coste variable acumulado (Segpay+modelos+Didit+demo)</t>
        </is>
      </c>
      <c r="B7" s="5" t="inlineStr">
        <is>
          <t>305 €</t>
        </is>
      </c>
      <c r="C7" s="5" t="inlineStr">
        <is>
          <t>2914 €</t>
        </is>
      </c>
    </row>
    <row r="8" ht="22" customHeight="1">
      <c r="A8" s="4" t="inlineStr">
        <is>
          <t>Coste fijo acumulado (AWS+Companio, 19 meses)</t>
        </is>
      </c>
      <c r="B8" s="5" t="inlineStr">
        <is>
          <t>4883 €</t>
        </is>
      </c>
      <c r="C8" s="5" t="inlineStr">
        <is>
          <t>4883 €</t>
        </is>
      </c>
    </row>
    <row r="9" ht="30" customHeight="1">
      <c r="A9" s="6" t="inlineStr">
        <is>
          <t>MARGEN NETO ACUMULADO 18 MESES</t>
        </is>
      </c>
      <c r="B9" s="7" t="inlineStr">
        <is>
          <t>-4698 €</t>
        </is>
      </c>
      <c r="C9" s="7" t="inlineStr">
        <is>
          <t>25 €</t>
        </is>
      </c>
    </row>
    <row r="10" ht="22" customHeight="1">
      <c r="A10" s="4" t="inlineStr"/>
      <c r="B10" s="5" t="inlineStr"/>
      <c r="C10" s="5" t="inlineStr"/>
    </row>
    <row r="11" ht="30" customHeight="1">
      <c r="A11" s="8" t="inlineStr">
        <is>
          <t>Gasto personal medio (€/mes) que tiene que cubrir Alain</t>
        </is>
      </c>
      <c r="B11" s="9" t="inlineStr">
        <is>
          <t>247 € / mes</t>
        </is>
      </c>
      <c r="C11" s="9" t="inlineStr">
        <is>
          <t>Positivo</t>
        </is>
      </c>
    </row>
    <row r="14" ht="26" customHeight="1">
      <c r="A14" s="10" t="inlineStr">
        <is>
          <t>CONCLUSIONES CLAVE</t>
        </is>
      </c>
    </row>
    <row r="15" ht="36" customHeight="1">
      <c r="A15" s="11" t="inlineStr">
        <is>
          <t>1. En el escenario PESIMISTA, el negocio te cuesta ~257€/mes de tu bolsillo durante los 18 meses (básicamente los costes fijos, porque el ingreso no llega ni a cubrirlos).</t>
        </is>
      </c>
    </row>
    <row r="16" ht="8" customHeight="1">
      <c r="A16" s="11" t="inlineStr"/>
    </row>
    <row r="17" ht="36" customHeight="1">
      <c r="A17" s="11" t="inlineStr">
        <is>
          <t>2. En el escenario NORMAL, los últimos meses (16-18) empiezan a tener margen positivo, pero el acumulado de 18 meses queda casi en equilibrio. El break-even mensual del escenario NORMAL ocurre alrededor del mes 15-16.</t>
        </is>
      </c>
    </row>
    <row r="18" ht="8" customHeight="1">
      <c r="A18" s="11" t="inlineStr"/>
    </row>
    <row r="19" ht="36" customHeight="1">
      <c r="A19" s="11" t="inlineStr">
        <is>
          <t>3. La conclusión NO es que el negocio es malo — es que SEO orgánico solo es DEMASIADO LENTO para sostener el negocio si quieres cubrir costes en menos de 18 meses. Necesitarás palancas adicionales entre mes 6-12 (paid adulto especializado, partnerships, PR sector) para acelerar la curva.</t>
        </is>
      </c>
    </row>
    <row r="20" ht="8" customHeight="1">
      <c r="A20" s="11" t="inlineStr"/>
    </row>
    <row r="21" ht="36" customHeight="1">
      <c r="A21" s="11" t="inlineStr">
        <is>
          <t>4. Sin capital inicial, lo que hay que monitorizar es: ¿estás dispuesto a poner 257€/mes de tu bolsillo durante 12-18 meses? Si la respuesta es sí, el plan es viable. Si no, hay que acelerar o pivotar antes.</t>
        </is>
      </c>
    </row>
    <row r="22" ht="8" customHeight="1">
      <c r="A22" s="11" t="inlineStr"/>
    </row>
    <row r="23" ht="36" customHeight="1">
      <c r="A23" s="11" t="inlineStr">
        <is>
          <t>5. Punto clave: los costes fijos (257€/mes) son DOMINANTES en pre-launch y soft launch. Solo a partir del mes 9-12 el revenue empieza a tener tamaño suficiente para que los costes variables importen. Hasta entonces, cada mes te cuesta exactamente lo que pagas en AWS + Companio + Sightengine (~257€), independientemente de lo que pase con el blog.</t>
        </is>
      </c>
    </row>
    <row r="24" ht="8" customHeight="1">
      <c r="A24" s="11" t="inlineStr"/>
    </row>
    <row r="25" ht="36" customHeight="1">
      <c r="A25" s="11" t="inlineStr">
        <is>
          <t>6. Sightengine plan Starter ($29/mes) incluye 10.000 ops/mes — suficiente para cubrir hasta 250 sesiones pagadas/mes con cadencia 15s. En todo el horizonte 19m no se cruza ese umbral, por lo que el coste variable de moderación es €0 (todo incluido en la cuota fija). Solo conviene saltar a Pro $99/mes cuando se superen ~45.000 ops/mes o se necesite más throughput (&gt;10 sesiones concurrentes).</t>
        </is>
      </c>
    </row>
  </sheetData>
  <mergeCells count="14">
    <mergeCell ref="A24:F24"/>
    <mergeCell ref="A16:F16"/>
    <mergeCell ref="A19:F19"/>
    <mergeCell ref="A14:F14"/>
    <mergeCell ref="A1:F1"/>
    <mergeCell ref="A23:F23"/>
    <mergeCell ref="A22:F22"/>
    <mergeCell ref="A17:F17"/>
    <mergeCell ref="A18:F18"/>
    <mergeCell ref="A3:F3"/>
    <mergeCell ref="A21:F21"/>
    <mergeCell ref="A20:F20"/>
    <mergeCell ref="A15:F1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9" customWidth="1" min="3" max="3"/>
    <col width="9" customWidth="1" min="4" max="4"/>
    <col width="8" customWidth="1" min="5" max="5"/>
    <col width="10" customWidth="1" min="6" max="6"/>
    <col width="11" customWidth="1" min="7" max="7"/>
    <col width="9" customWidth="1" min="8" max="8"/>
    <col width="11" customWidth="1" min="9" max="9"/>
    <col width="13" customWidth="1" min="10" max="10"/>
    <col width="11" customWidth="1" min="11" max="11"/>
    <col width="13" customWidth="1" min="12" max="12"/>
    <col width="14" customWidth="1" min="13" max="13"/>
    <col width="13" customWidth="1" min="14" max="14"/>
  </cols>
  <sheetData>
    <row r="1" ht="30" customHeight="1">
      <c r="A1" s="1" t="inlineStr">
        <is>
          <t>Modelo financiero mensual — Escenario Pesimista</t>
        </is>
      </c>
    </row>
    <row r="2" ht="32" customHeight="1">
      <c r="A2" s="12" t="inlineStr">
        <is>
          <t>Pack medio asumido: €10 (todos al pack mínimo). Modelo asumida en tier 5-15 (€1.40/pack pagado a modelo). Segpay 10% + €0.30/TX. Didit cliente €0.13/verificado. Costes fijos €257/mes (AWS €120 + Companio €110 + Sightengine €27 plan Starter).</t>
        </is>
      </c>
    </row>
    <row r="4" ht="32" customHeight="1">
      <c r="A4" s="13" t="inlineStr">
        <is>
          <t>Mes</t>
        </is>
      </c>
      <c r="B4" s="13" t="inlineStr">
        <is>
          <t>Fase</t>
        </is>
      </c>
      <c r="C4" s="13" t="inlineStr">
        <is>
          <t>Sesiones</t>
        </is>
      </c>
      <c r="D4" s="13" t="inlineStr">
        <is>
          <t>Signups</t>
        </is>
      </c>
      <c r="E4" s="13" t="inlineStr">
        <is>
          <t>Verif.</t>
        </is>
      </c>
      <c r="F4" s="13" t="inlineStr">
        <is>
          <t>1ª compras</t>
        </is>
      </c>
      <c r="G4" s="13" t="inlineStr">
        <is>
          <t>Repeats (€)</t>
        </is>
      </c>
      <c r="H4" s="13" t="inlineStr">
        <is>
          <t>TX total</t>
        </is>
      </c>
      <c r="I4" s="13" t="inlineStr">
        <is>
          <t>Revenue (€)</t>
        </is>
      </c>
      <c r="J4" s="13" t="inlineStr">
        <is>
          <t>Coste variable (€)</t>
        </is>
      </c>
      <c r="K4" s="13" t="inlineStr">
        <is>
          <t>Coste fijo (€)</t>
        </is>
      </c>
      <c r="L4" s="13" t="inlineStr">
        <is>
          <t>Margen neto (€)</t>
        </is>
      </c>
      <c r="M4" s="13" t="inlineStr">
        <is>
          <t>Acumulado neto (€)</t>
        </is>
      </c>
      <c r="N4" s="13" t="inlineStr">
        <is>
          <t>Gasto personal mes (€)</t>
        </is>
      </c>
    </row>
    <row r="5" ht="22" customHeight="1">
      <c r="A5" s="14" t="inlineStr">
        <is>
          <t>0 - Jun 26</t>
        </is>
      </c>
      <c r="B5" s="15" t="inlineStr">
        <is>
          <t>F1 Coming Soon</t>
        </is>
      </c>
      <c r="C5" s="15" t="n">
        <v>100</v>
      </c>
      <c r="D5" s="15" t="n">
        <v>0</v>
      </c>
      <c r="E5" s="15" t="n">
        <v>0</v>
      </c>
      <c r="F5" s="15" t="n">
        <v>0</v>
      </c>
      <c r="G5" s="15" t="n">
        <v>0</v>
      </c>
      <c r="H5" s="15" t="inlineStr">
        <is>
          <t>0.0</t>
        </is>
      </c>
      <c r="I5" s="15" t="inlineStr">
        <is>
          <t>0.0</t>
        </is>
      </c>
      <c r="J5" s="15" t="inlineStr">
        <is>
          <t>0.0</t>
        </is>
      </c>
      <c r="K5" s="15" t="n">
        <v>257</v>
      </c>
      <c r="L5" s="16" t="inlineStr">
        <is>
          <t>-257.0</t>
        </is>
      </c>
      <c r="M5" s="15" t="inlineStr">
        <is>
          <t>-257</t>
        </is>
      </c>
      <c r="N5" s="15" t="inlineStr">
        <is>
          <t>257.0</t>
        </is>
      </c>
    </row>
    <row r="6" ht="22" customHeight="1">
      <c r="A6" s="14" t="inlineStr">
        <is>
          <t>1 - Jul 26</t>
        </is>
      </c>
      <c r="B6" s="15" t="inlineStr">
        <is>
          <t>F1 Coming Soon</t>
        </is>
      </c>
      <c r="C6" s="15" t="n">
        <v>150</v>
      </c>
      <c r="D6" s="15" t="n">
        <v>0</v>
      </c>
      <c r="E6" s="15" t="n">
        <v>0</v>
      </c>
      <c r="F6" s="15" t="n">
        <v>0</v>
      </c>
      <c r="G6" s="15" t="n">
        <v>0</v>
      </c>
      <c r="H6" s="15" t="inlineStr">
        <is>
          <t>0.0</t>
        </is>
      </c>
      <c r="I6" s="15" t="inlineStr">
        <is>
          <t>0.0</t>
        </is>
      </c>
      <c r="J6" s="15" t="inlineStr">
        <is>
          <t>0.0</t>
        </is>
      </c>
      <c r="K6" s="15" t="n">
        <v>257</v>
      </c>
      <c r="L6" s="16" t="inlineStr">
        <is>
          <t>-257.0</t>
        </is>
      </c>
      <c r="M6" s="15" t="inlineStr">
        <is>
          <t>-514</t>
        </is>
      </c>
      <c r="N6" s="15" t="inlineStr">
        <is>
          <t>257.0</t>
        </is>
      </c>
    </row>
    <row r="7" ht="22" customHeight="1">
      <c r="A7" s="14" t="inlineStr">
        <is>
          <t>2 - Ago 26</t>
        </is>
      </c>
      <c r="B7" s="15" t="inlineStr">
        <is>
          <t>F1 Coming Soon</t>
        </is>
      </c>
      <c r="C7" s="15" t="n">
        <v>200</v>
      </c>
      <c r="D7" s="15" t="n">
        <v>0</v>
      </c>
      <c r="E7" s="15" t="n">
        <v>0</v>
      </c>
      <c r="F7" s="15" t="n">
        <v>0</v>
      </c>
      <c r="G7" s="15" t="n">
        <v>0</v>
      </c>
      <c r="H7" s="15" t="inlineStr">
        <is>
          <t>0.0</t>
        </is>
      </c>
      <c r="I7" s="15" t="inlineStr">
        <is>
          <t>0.0</t>
        </is>
      </c>
      <c r="J7" s="15" t="inlineStr">
        <is>
          <t>0.0</t>
        </is>
      </c>
      <c r="K7" s="15" t="n">
        <v>257</v>
      </c>
      <c r="L7" s="16" t="inlineStr">
        <is>
          <t>-257.0</t>
        </is>
      </c>
      <c r="M7" s="15" t="inlineStr">
        <is>
          <t>-771</t>
        </is>
      </c>
      <c r="N7" s="15" t="inlineStr">
        <is>
          <t>257.0</t>
        </is>
      </c>
    </row>
    <row r="8" ht="22" customHeight="1">
      <c r="A8" s="14" t="inlineStr">
        <is>
          <t>3 - Sep 26</t>
        </is>
      </c>
      <c r="B8" s="15" t="inlineStr">
        <is>
          <t>F1 Coming Soon</t>
        </is>
      </c>
      <c r="C8" s="15" t="n">
        <v>300</v>
      </c>
      <c r="D8" s="15" t="n">
        <v>0</v>
      </c>
      <c r="E8" s="15" t="n">
        <v>0</v>
      </c>
      <c r="F8" s="15" t="n">
        <v>0</v>
      </c>
      <c r="G8" s="15" t="n">
        <v>0</v>
      </c>
      <c r="H8" s="15" t="inlineStr">
        <is>
          <t>0.0</t>
        </is>
      </c>
      <c r="I8" s="15" t="inlineStr">
        <is>
          <t>0.0</t>
        </is>
      </c>
      <c r="J8" s="15" t="inlineStr">
        <is>
          <t>0.0</t>
        </is>
      </c>
      <c r="K8" s="15" t="n">
        <v>257</v>
      </c>
      <c r="L8" s="16" t="inlineStr">
        <is>
          <t>-257.0</t>
        </is>
      </c>
      <c r="M8" s="15" t="inlineStr">
        <is>
          <t>-1028</t>
        </is>
      </c>
      <c r="N8" s="15" t="inlineStr">
        <is>
          <t>257.0</t>
        </is>
      </c>
    </row>
    <row r="9" ht="22" customHeight="1">
      <c r="A9" s="17" t="inlineStr">
        <is>
          <t>4 - Oct 26</t>
        </is>
      </c>
      <c r="B9" s="18" t="inlineStr">
        <is>
          <t>F2 Soft Launch</t>
        </is>
      </c>
      <c r="C9" s="18" t="n">
        <v>500</v>
      </c>
      <c r="D9" s="18" t="n">
        <v>5</v>
      </c>
      <c r="E9" s="18" t="n">
        <v>2</v>
      </c>
      <c r="F9" s="18" t="n">
        <v>0.3</v>
      </c>
      <c r="G9" s="18" t="n">
        <v>0</v>
      </c>
      <c r="H9" s="18" t="inlineStr">
        <is>
          <t>0.3</t>
        </is>
      </c>
      <c r="I9" s="18" t="inlineStr">
        <is>
          <t>3.0</t>
        </is>
      </c>
      <c r="J9" s="18" t="inlineStr">
        <is>
          <t>2.6</t>
        </is>
      </c>
      <c r="K9" s="18" t="n">
        <v>257</v>
      </c>
      <c r="L9" s="16" t="inlineStr">
        <is>
          <t>-256.6</t>
        </is>
      </c>
      <c r="M9" s="18" t="inlineStr">
        <is>
          <t>-1285</t>
        </is>
      </c>
      <c r="N9" s="18" t="inlineStr">
        <is>
          <t>256.6</t>
        </is>
      </c>
    </row>
    <row r="10" ht="22" customHeight="1">
      <c r="A10" s="17" t="inlineStr">
        <is>
          <t>5 - Nov 26</t>
        </is>
      </c>
      <c r="B10" s="18" t="inlineStr">
        <is>
          <t>F2 Soft Launch</t>
        </is>
      </c>
      <c r="C10" s="18" t="n">
        <v>700</v>
      </c>
      <c r="D10" s="18" t="n">
        <v>7</v>
      </c>
      <c r="E10" s="18" t="n">
        <v>3</v>
      </c>
      <c r="F10" s="18" t="n">
        <v>0.4</v>
      </c>
      <c r="G10" s="18" t="n">
        <v>1</v>
      </c>
      <c r="H10" s="18" t="inlineStr">
        <is>
          <t>0.5</t>
        </is>
      </c>
      <c r="I10" s="18" t="inlineStr">
        <is>
          <t>5.0</t>
        </is>
      </c>
      <c r="J10" s="18" t="inlineStr">
        <is>
          <t>4.0</t>
        </is>
      </c>
      <c r="K10" s="18" t="n">
        <v>257</v>
      </c>
      <c r="L10" s="16" t="inlineStr">
        <is>
          <t>-256.0</t>
        </is>
      </c>
      <c r="M10" s="18" t="inlineStr">
        <is>
          <t>-1541</t>
        </is>
      </c>
      <c r="N10" s="18" t="inlineStr">
        <is>
          <t>256.0</t>
        </is>
      </c>
    </row>
    <row r="11" ht="22" customHeight="1">
      <c r="A11" s="17" t="inlineStr">
        <is>
          <t>6 - Dic 26</t>
        </is>
      </c>
      <c r="B11" s="18" t="inlineStr">
        <is>
          <t>F2 Soft Launch</t>
        </is>
      </c>
      <c r="C11" s="18" t="n">
        <v>900</v>
      </c>
      <c r="D11" s="18" t="n">
        <v>9</v>
      </c>
      <c r="E11" s="18" t="n">
        <v>4</v>
      </c>
      <c r="F11" s="18" t="n">
        <v>0.6</v>
      </c>
      <c r="G11" s="18" t="n">
        <v>2</v>
      </c>
      <c r="H11" s="18" t="inlineStr">
        <is>
          <t>0.8</t>
        </is>
      </c>
      <c r="I11" s="18" t="inlineStr">
        <is>
          <t>8.0</t>
        </is>
      </c>
      <c r="J11" s="18" t="inlineStr">
        <is>
          <t>5.6</t>
        </is>
      </c>
      <c r="K11" s="18" t="n">
        <v>257</v>
      </c>
      <c r="L11" s="16" t="inlineStr">
        <is>
          <t>-254.6</t>
        </is>
      </c>
      <c r="M11" s="18" t="inlineStr">
        <is>
          <t>-1795</t>
        </is>
      </c>
      <c r="N11" s="18" t="inlineStr">
        <is>
          <t>254.6</t>
        </is>
      </c>
    </row>
    <row r="12" ht="22" customHeight="1">
      <c r="A12" s="19" t="inlineStr">
        <is>
          <t>7 - Ene 27</t>
        </is>
      </c>
      <c r="B12" s="20" t="inlineStr">
        <is>
          <t>F3 Live</t>
        </is>
      </c>
      <c r="C12" s="20" t="n">
        <v>1200</v>
      </c>
      <c r="D12" s="20" t="n">
        <v>14</v>
      </c>
      <c r="E12" s="20" t="n">
        <v>6</v>
      </c>
      <c r="F12" s="20" t="n">
        <v>0.9</v>
      </c>
      <c r="G12" s="20" t="n">
        <v>3</v>
      </c>
      <c r="H12" s="20" t="inlineStr">
        <is>
          <t>1.2</t>
        </is>
      </c>
      <c r="I12" s="20" t="inlineStr">
        <is>
          <t>12.0</t>
        </is>
      </c>
      <c r="J12" s="20" t="inlineStr">
        <is>
          <t>8.5</t>
        </is>
      </c>
      <c r="K12" s="20" t="n">
        <v>257</v>
      </c>
      <c r="L12" s="16" t="inlineStr">
        <is>
          <t>-253.5</t>
        </is>
      </c>
      <c r="M12" s="20" t="inlineStr">
        <is>
          <t>-2049</t>
        </is>
      </c>
      <c r="N12" s="20" t="inlineStr">
        <is>
          <t>253.5</t>
        </is>
      </c>
    </row>
    <row r="13" ht="22" customHeight="1">
      <c r="A13" s="19" t="inlineStr">
        <is>
          <t>8 - Feb 27</t>
        </is>
      </c>
      <c r="B13" s="20" t="inlineStr">
        <is>
          <t>F3 Live</t>
        </is>
      </c>
      <c r="C13" s="20" t="n">
        <v>1400</v>
      </c>
      <c r="D13" s="20" t="n">
        <v>17</v>
      </c>
      <c r="E13" s="20" t="n">
        <v>7</v>
      </c>
      <c r="F13" s="20" t="n">
        <v>1.1</v>
      </c>
      <c r="G13" s="20" t="n">
        <v>4</v>
      </c>
      <c r="H13" s="20" t="inlineStr">
        <is>
          <t>1.5</t>
        </is>
      </c>
      <c r="I13" s="20" t="inlineStr">
        <is>
          <t>15.0</t>
        </is>
      </c>
      <c r="J13" s="20" t="inlineStr">
        <is>
          <t>10.4</t>
        </is>
      </c>
      <c r="K13" s="20" t="n">
        <v>257</v>
      </c>
      <c r="L13" s="16" t="inlineStr">
        <is>
          <t>-252.4</t>
        </is>
      </c>
      <c r="M13" s="20" t="inlineStr">
        <is>
          <t>-2301</t>
        </is>
      </c>
      <c r="N13" s="20" t="inlineStr">
        <is>
          <t>252.4</t>
        </is>
      </c>
    </row>
    <row r="14" ht="22" customHeight="1">
      <c r="A14" s="19" t="inlineStr">
        <is>
          <t>9 - Mar 27</t>
        </is>
      </c>
      <c r="B14" s="20" t="inlineStr">
        <is>
          <t>F3 Live</t>
        </is>
      </c>
      <c r="C14" s="20" t="n">
        <v>1600</v>
      </c>
      <c r="D14" s="20" t="n">
        <v>19</v>
      </c>
      <c r="E14" s="20" t="n">
        <v>8</v>
      </c>
      <c r="F14" s="20" t="n">
        <v>1.2</v>
      </c>
      <c r="G14" s="20" t="n">
        <v>5</v>
      </c>
      <c r="H14" s="20" t="inlineStr">
        <is>
          <t>1.7</t>
        </is>
      </c>
      <c r="I14" s="20" t="inlineStr">
        <is>
          <t>17.0</t>
        </is>
      </c>
      <c r="J14" s="20" t="inlineStr">
        <is>
          <t>11.8</t>
        </is>
      </c>
      <c r="K14" s="20" t="n">
        <v>257</v>
      </c>
      <c r="L14" s="16" t="inlineStr">
        <is>
          <t>-251.8</t>
        </is>
      </c>
      <c r="M14" s="20" t="inlineStr">
        <is>
          <t>-2553</t>
        </is>
      </c>
      <c r="N14" s="20" t="inlineStr">
        <is>
          <t>251.8</t>
        </is>
      </c>
    </row>
    <row r="15" ht="22" customHeight="1">
      <c r="A15" s="19" t="inlineStr">
        <is>
          <t>10 - Abr 27</t>
        </is>
      </c>
      <c r="B15" s="20" t="inlineStr">
        <is>
          <t>F3 Live</t>
        </is>
      </c>
      <c r="C15" s="20" t="n">
        <v>1800</v>
      </c>
      <c r="D15" s="20" t="n">
        <v>22</v>
      </c>
      <c r="E15" s="20" t="n">
        <v>9</v>
      </c>
      <c r="F15" s="20" t="n">
        <v>1.4</v>
      </c>
      <c r="G15" s="20" t="n">
        <v>7</v>
      </c>
      <c r="H15" s="20" t="inlineStr">
        <is>
          <t>2.1</t>
        </is>
      </c>
      <c r="I15" s="20" t="inlineStr">
        <is>
          <t>21.0</t>
        </is>
      </c>
      <c r="J15" s="20" t="inlineStr">
        <is>
          <t>14.0</t>
        </is>
      </c>
      <c r="K15" s="20" t="n">
        <v>257</v>
      </c>
      <c r="L15" s="16" t="inlineStr">
        <is>
          <t>-250.0</t>
        </is>
      </c>
      <c r="M15" s="20" t="inlineStr">
        <is>
          <t>-2803</t>
        </is>
      </c>
      <c r="N15" s="20" t="inlineStr">
        <is>
          <t>250.0</t>
        </is>
      </c>
    </row>
    <row r="16" ht="22" customHeight="1">
      <c r="A16" s="19" t="inlineStr">
        <is>
          <t>11 - May 27</t>
        </is>
      </c>
      <c r="B16" s="20" t="inlineStr">
        <is>
          <t>F3 Live</t>
        </is>
      </c>
      <c r="C16" s="20" t="n">
        <v>2100</v>
      </c>
      <c r="D16" s="20" t="n">
        <v>25</v>
      </c>
      <c r="E16" s="20" t="n">
        <v>10</v>
      </c>
      <c r="F16" s="20" t="n">
        <v>1.6</v>
      </c>
      <c r="G16" s="20" t="n">
        <v>9</v>
      </c>
      <c r="H16" s="20" t="inlineStr">
        <is>
          <t>2.5</t>
        </is>
      </c>
      <c r="I16" s="20" t="inlineStr">
        <is>
          <t>25.0</t>
        </is>
      </c>
      <c r="J16" s="20" t="inlineStr">
        <is>
          <t>16.2</t>
        </is>
      </c>
      <c r="K16" s="20" t="n">
        <v>257</v>
      </c>
      <c r="L16" s="16" t="inlineStr">
        <is>
          <t>-248.2</t>
        </is>
      </c>
      <c r="M16" s="20" t="inlineStr">
        <is>
          <t>-3051</t>
        </is>
      </c>
      <c r="N16" s="20" t="inlineStr">
        <is>
          <t>248.2</t>
        </is>
      </c>
    </row>
    <row r="17" ht="22" customHeight="1">
      <c r="A17" s="19" t="inlineStr">
        <is>
          <t>12 - Jun 27</t>
        </is>
      </c>
      <c r="B17" s="20" t="inlineStr">
        <is>
          <t>F3 Live</t>
        </is>
      </c>
      <c r="C17" s="20" t="n">
        <v>2500</v>
      </c>
      <c r="D17" s="20" t="n">
        <v>30</v>
      </c>
      <c r="E17" s="20" t="n">
        <v>12</v>
      </c>
      <c r="F17" s="20" t="n">
        <v>1.9</v>
      </c>
      <c r="G17" s="20" t="n">
        <v>12</v>
      </c>
      <c r="H17" s="20" t="inlineStr">
        <is>
          <t>3.1</t>
        </is>
      </c>
      <c r="I17" s="20" t="inlineStr">
        <is>
          <t>31.0</t>
        </is>
      </c>
      <c r="J17" s="20" t="inlineStr">
        <is>
          <t>19.7</t>
        </is>
      </c>
      <c r="K17" s="20" t="n">
        <v>257</v>
      </c>
      <c r="L17" s="16" t="inlineStr">
        <is>
          <t>-245.7</t>
        </is>
      </c>
      <c r="M17" s="20" t="inlineStr">
        <is>
          <t>-3297</t>
        </is>
      </c>
      <c r="N17" s="20" t="inlineStr">
        <is>
          <t>245.7</t>
        </is>
      </c>
    </row>
    <row r="18" ht="22" customHeight="1">
      <c r="A18" s="21" t="inlineStr">
        <is>
          <t>13 - Jul 27</t>
        </is>
      </c>
      <c r="B18" s="22" t="inlineStr">
        <is>
          <t>F4 Crecimiento</t>
        </is>
      </c>
      <c r="C18" s="22" t="n">
        <v>3000</v>
      </c>
      <c r="D18" s="22" t="n">
        <v>36</v>
      </c>
      <c r="E18" s="22" t="n">
        <v>14</v>
      </c>
      <c r="F18" s="22" t="n">
        <v>2.3</v>
      </c>
      <c r="G18" s="22" t="n">
        <v>15</v>
      </c>
      <c r="H18" s="22" t="inlineStr">
        <is>
          <t>3.8</t>
        </is>
      </c>
      <c r="I18" s="22" t="inlineStr">
        <is>
          <t>38.0</t>
        </is>
      </c>
      <c r="J18" s="22" t="inlineStr">
        <is>
          <t>23.8</t>
        </is>
      </c>
      <c r="K18" s="22" t="n">
        <v>257</v>
      </c>
      <c r="L18" s="16" t="inlineStr">
        <is>
          <t>-242.8</t>
        </is>
      </c>
      <c r="M18" s="22" t="inlineStr">
        <is>
          <t>-3540</t>
        </is>
      </c>
      <c r="N18" s="22" t="inlineStr">
        <is>
          <t>242.8</t>
        </is>
      </c>
    </row>
    <row r="19" ht="22" customHeight="1">
      <c r="A19" s="21" t="inlineStr">
        <is>
          <t>14 - Ago 27</t>
        </is>
      </c>
      <c r="B19" s="22" t="inlineStr">
        <is>
          <t>F4 Crecimiento</t>
        </is>
      </c>
      <c r="C19" s="22" t="n">
        <v>3500</v>
      </c>
      <c r="D19" s="22" t="n">
        <v>42</v>
      </c>
      <c r="E19" s="22" t="n">
        <v>17</v>
      </c>
      <c r="F19" s="22" t="n">
        <v>2.7</v>
      </c>
      <c r="G19" s="22" t="n">
        <v>19</v>
      </c>
      <c r="H19" s="22" t="inlineStr">
        <is>
          <t>4.6</t>
        </is>
      </c>
      <c r="I19" s="22" t="inlineStr">
        <is>
          <t>46.0</t>
        </is>
      </c>
      <c r="J19" s="22" t="inlineStr">
        <is>
          <t>28.4</t>
        </is>
      </c>
      <c r="K19" s="22" t="n">
        <v>257</v>
      </c>
      <c r="L19" s="16" t="inlineStr">
        <is>
          <t>-239.4</t>
        </is>
      </c>
      <c r="M19" s="22" t="inlineStr">
        <is>
          <t>-3779</t>
        </is>
      </c>
      <c r="N19" s="22" t="inlineStr">
        <is>
          <t>239.4</t>
        </is>
      </c>
    </row>
    <row r="20" ht="22" customHeight="1">
      <c r="A20" s="21" t="inlineStr">
        <is>
          <t>15 - Sep 27</t>
        </is>
      </c>
      <c r="B20" s="22" t="inlineStr">
        <is>
          <t>F4 Crecimiento</t>
        </is>
      </c>
      <c r="C20" s="22" t="n">
        <v>4000</v>
      </c>
      <c r="D20" s="22" t="n">
        <v>48</v>
      </c>
      <c r="E20" s="22" t="n">
        <v>19</v>
      </c>
      <c r="F20" s="22" t="n">
        <v>3</v>
      </c>
      <c r="G20" s="22" t="n">
        <v>23</v>
      </c>
      <c r="H20" s="22" t="inlineStr">
        <is>
          <t>5.3</t>
        </is>
      </c>
      <c r="I20" s="22" t="inlineStr">
        <is>
          <t>53.0</t>
        </is>
      </c>
      <c r="J20" s="22" t="inlineStr">
        <is>
          <t>32.5</t>
        </is>
      </c>
      <c r="K20" s="22" t="n">
        <v>257</v>
      </c>
      <c r="L20" s="16" t="inlineStr">
        <is>
          <t>-236.5</t>
        </is>
      </c>
      <c r="M20" s="22" t="inlineStr">
        <is>
          <t>-4015</t>
        </is>
      </c>
      <c r="N20" s="22" t="inlineStr">
        <is>
          <t>236.5</t>
        </is>
      </c>
    </row>
    <row r="21" ht="22" customHeight="1">
      <c r="A21" s="21" t="inlineStr">
        <is>
          <t>16 - Oct 27</t>
        </is>
      </c>
      <c r="B21" s="22" t="inlineStr">
        <is>
          <t>F4 Crecimiento</t>
        </is>
      </c>
      <c r="C21" s="22" t="n">
        <v>4500</v>
      </c>
      <c r="D21" s="22" t="n">
        <v>54</v>
      </c>
      <c r="E21" s="22" t="n">
        <v>22</v>
      </c>
      <c r="F21" s="22" t="n">
        <v>3.4</v>
      </c>
      <c r="G21" s="22" t="n">
        <v>28</v>
      </c>
      <c r="H21" s="22" t="inlineStr">
        <is>
          <t>6.2</t>
        </is>
      </c>
      <c r="I21" s="22" t="inlineStr">
        <is>
          <t>62.0</t>
        </is>
      </c>
      <c r="J21" s="22" t="inlineStr">
        <is>
          <t>37.3</t>
        </is>
      </c>
      <c r="K21" s="22" t="n">
        <v>257</v>
      </c>
      <c r="L21" s="16" t="inlineStr">
        <is>
          <t>-232.3</t>
        </is>
      </c>
      <c r="M21" s="22" t="inlineStr">
        <is>
          <t>-4248</t>
        </is>
      </c>
      <c r="N21" s="22" t="inlineStr">
        <is>
          <t>232.3</t>
        </is>
      </c>
    </row>
    <row r="22" ht="22" customHeight="1">
      <c r="A22" s="21" t="inlineStr">
        <is>
          <t>17 - Nov 27</t>
        </is>
      </c>
      <c r="B22" s="22" t="inlineStr">
        <is>
          <t>F4 Crecimiento</t>
        </is>
      </c>
      <c r="C22" s="22" t="n">
        <v>5000</v>
      </c>
      <c r="D22" s="22" t="n">
        <v>60</v>
      </c>
      <c r="E22" s="22" t="n">
        <v>24</v>
      </c>
      <c r="F22" s="22" t="n">
        <v>3.8</v>
      </c>
      <c r="G22" s="22" t="n">
        <v>34</v>
      </c>
      <c r="H22" s="22" t="inlineStr">
        <is>
          <t>7.2</t>
        </is>
      </c>
      <c r="I22" s="22" t="inlineStr">
        <is>
          <t>72.0</t>
        </is>
      </c>
      <c r="J22" s="22" t="inlineStr">
        <is>
          <t>42.4</t>
        </is>
      </c>
      <c r="K22" s="22" t="n">
        <v>257</v>
      </c>
      <c r="L22" s="16" t="inlineStr">
        <is>
          <t>-227.4</t>
        </is>
      </c>
      <c r="M22" s="22" t="inlineStr">
        <is>
          <t>-4475</t>
        </is>
      </c>
      <c r="N22" s="22" t="inlineStr">
        <is>
          <t>227.4</t>
        </is>
      </c>
    </row>
    <row r="23" ht="22" customHeight="1">
      <c r="A23" s="21" t="inlineStr">
        <is>
          <t>18 - Dic 27</t>
        </is>
      </c>
      <c r="B23" s="22" t="inlineStr">
        <is>
          <t>F4 Crecimiento</t>
        </is>
      </c>
      <c r="C23" s="22" t="n">
        <v>5500</v>
      </c>
      <c r="D23" s="22" t="n">
        <v>66</v>
      </c>
      <c r="E23" s="22" t="n">
        <v>26</v>
      </c>
      <c r="F23" s="22" t="n">
        <v>4.2</v>
      </c>
      <c r="G23" s="22" t="n">
        <v>40</v>
      </c>
      <c r="H23" s="22" t="inlineStr">
        <is>
          <t>8.2</t>
        </is>
      </c>
      <c r="I23" s="22" t="inlineStr">
        <is>
          <t>82.0</t>
        </is>
      </c>
      <c r="J23" s="22" t="inlineStr">
        <is>
          <t>47.4</t>
        </is>
      </c>
      <c r="K23" s="22" t="n">
        <v>257</v>
      </c>
      <c r="L23" s="16" t="inlineStr">
        <is>
          <t>-222.4</t>
        </is>
      </c>
      <c r="M23" s="22" t="inlineStr">
        <is>
          <t>-4698</t>
        </is>
      </c>
      <c r="N23" s="22" t="inlineStr">
        <is>
          <t>222.4</t>
        </is>
      </c>
    </row>
    <row r="24" ht="26" customHeight="1">
      <c r="A24" s="23" t="inlineStr">
        <is>
          <t>TOTAL 19 meses</t>
        </is>
      </c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5" t="inlineStr">
        <is>
          <t>-4698</t>
        </is>
      </c>
      <c r="M24" s="24" t="n"/>
      <c r="N24" s="24" t="n"/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9" customWidth="1" min="3" max="3"/>
    <col width="9" customWidth="1" min="4" max="4"/>
    <col width="8" customWidth="1" min="5" max="5"/>
    <col width="10" customWidth="1" min="6" max="6"/>
    <col width="11" customWidth="1" min="7" max="7"/>
    <col width="9" customWidth="1" min="8" max="8"/>
    <col width="11" customWidth="1" min="9" max="9"/>
    <col width="13" customWidth="1" min="10" max="10"/>
    <col width="11" customWidth="1" min="11" max="11"/>
    <col width="13" customWidth="1" min="12" max="12"/>
    <col width="14" customWidth="1" min="13" max="13"/>
    <col width="13" customWidth="1" min="14" max="14"/>
  </cols>
  <sheetData>
    <row r="1" ht="30" customHeight="1">
      <c r="A1" s="1" t="inlineStr">
        <is>
          <t>Modelo financiero mensual — Escenario Normal</t>
        </is>
      </c>
    </row>
    <row r="2" ht="32" customHeight="1">
      <c r="A2" s="12" t="inlineStr">
        <is>
          <t>Pack medio asumido: €12 (mix entre €10 y €20). Modelo asumida en tier 5-15 (€1.40/pack pagado a modelo). Segpay 10% + €0.30/TX. Didit cliente €0.13/verificado. Costes fijos €257/mes (AWS €120 + Companio €110 + Sightengine €27 plan Starter).</t>
        </is>
      </c>
    </row>
    <row r="4" ht="32" customHeight="1">
      <c r="A4" s="13" t="inlineStr">
        <is>
          <t>Mes</t>
        </is>
      </c>
      <c r="B4" s="13" t="inlineStr">
        <is>
          <t>Fase</t>
        </is>
      </c>
      <c r="C4" s="13" t="inlineStr">
        <is>
          <t>Sesiones</t>
        </is>
      </c>
      <c r="D4" s="13" t="inlineStr">
        <is>
          <t>Signups</t>
        </is>
      </c>
      <c r="E4" s="13" t="inlineStr">
        <is>
          <t>Verif.</t>
        </is>
      </c>
      <c r="F4" s="13" t="inlineStr">
        <is>
          <t>1ª compras</t>
        </is>
      </c>
      <c r="G4" s="13" t="inlineStr">
        <is>
          <t>Repeats (€)</t>
        </is>
      </c>
      <c r="H4" s="13" t="inlineStr">
        <is>
          <t>TX total</t>
        </is>
      </c>
      <c r="I4" s="13" t="inlineStr">
        <is>
          <t>Revenue (€)</t>
        </is>
      </c>
      <c r="J4" s="13" t="inlineStr">
        <is>
          <t>Coste variable (€)</t>
        </is>
      </c>
      <c r="K4" s="13" t="inlineStr">
        <is>
          <t>Coste fijo (€)</t>
        </is>
      </c>
      <c r="L4" s="13" t="inlineStr">
        <is>
          <t>Margen neto (€)</t>
        </is>
      </c>
      <c r="M4" s="13" t="inlineStr">
        <is>
          <t>Acumulado neto (€)</t>
        </is>
      </c>
      <c r="N4" s="13" t="inlineStr">
        <is>
          <t>Gasto personal mes (€)</t>
        </is>
      </c>
    </row>
    <row r="5" ht="22" customHeight="1">
      <c r="A5" s="14" t="inlineStr">
        <is>
          <t>0 - Jun 26</t>
        </is>
      </c>
      <c r="B5" s="15" t="inlineStr">
        <is>
          <t>F1 Coming Soon</t>
        </is>
      </c>
      <c r="C5" s="15" t="n">
        <v>150</v>
      </c>
      <c r="D5" s="15" t="n">
        <v>0</v>
      </c>
      <c r="E5" s="15" t="n">
        <v>0</v>
      </c>
      <c r="F5" s="15" t="n">
        <v>0</v>
      </c>
      <c r="G5" s="15" t="n">
        <v>0</v>
      </c>
      <c r="H5" s="15" t="inlineStr">
        <is>
          <t>0.0</t>
        </is>
      </c>
      <c r="I5" s="15" t="inlineStr">
        <is>
          <t>0.0</t>
        </is>
      </c>
      <c r="J5" s="15" t="inlineStr">
        <is>
          <t>0.0</t>
        </is>
      </c>
      <c r="K5" s="15" t="n">
        <v>257</v>
      </c>
      <c r="L5" s="16" t="inlineStr">
        <is>
          <t>-257.0</t>
        </is>
      </c>
      <c r="M5" s="15" t="inlineStr">
        <is>
          <t>-257</t>
        </is>
      </c>
      <c r="N5" s="15" t="inlineStr">
        <is>
          <t>257.0</t>
        </is>
      </c>
    </row>
    <row r="6" ht="22" customHeight="1">
      <c r="A6" s="14" t="inlineStr">
        <is>
          <t>1 - Jul 26</t>
        </is>
      </c>
      <c r="B6" s="15" t="inlineStr">
        <is>
          <t>F1 Coming Soon</t>
        </is>
      </c>
      <c r="C6" s="15" t="n">
        <v>250</v>
      </c>
      <c r="D6" s="15" t="n">
        <v>0</v>
      </c>
      <c r="E6" s="15" t="n">
        <v>0</v>
      </c>
      <c r="F6" s="15" t="n">
        <v>0</v>
      </c>
      <c r="G6" s="15" t="n">
        <v>0</v>
      </c>
      <c r="H6" s="15" t="inlineStr">
        <is>
          <t>0.0</t>
        </is>
      </c>
      <c r="I6" s="15" t="inlineStr">
        <is>
          <t>0.0</t>
        </is>
      </c>
      <c r="J6" s="15" t="inlineStr">
        <is>
          <t>0.0</t>
        </is>
      </c>
      <c r="K6" s="15" t="n">
        <v>257</v>
      </c>
      <c r="L6" s="16" t="inlineStr">
        <is>
          <t>-257.0</t>
        </is>
      </c>
      <c r="M6" s="15" t="inlineStr">
        <is>
          <t>-514</t>
        </is>
      </c>
      <c r="N6" s="15" t="inlineStr">
        <is>
          <t>257.0</t>
        </is>
      </c>
    </row>
    <row r="7" ht="22" customHeight="1">
      <c r="A7" s="14" t="inlineStr">
        <is>
          <t>2 - Ago 26</t>
        </is>
      </c>
      <c r="B7" s="15" t="inlineStr">
        <is>
          <t>F1 Coming Soon</t>
        </is>
      </c>
      <c r="C7" s="15" t="n">
        <v>400</v>
      </c>
      <c r="D7" s="15" t="n">
        <v>0</v>
      </c>
      <c r="E7" s="15" t="n">
        <v>0</v>
      </c>
      <c r="F7" s="15" t="n">
        <v>0</v>
      </c>
      <c r="G7" s="15" t="n">
        <v>0</v>
      </c>
      <c r="H7" s="15" t="inlineStr">
        <is>
          <t>0.0</t>
        </is>
      </c>
      <c r="I7" s="15" t="inlineStr">
        <is>
          <t>0.0</t>
        </is>
      </c>
      <c r="J7" s="15" t="inlineStr">
        <is>
          <t>0.0</t>
        </is>
      </c>
      <c r="K7" s="15" t="n">
        <v>257</v>
      </c>
      <c r="L7" s="16" t="inlineStr">
        <is>
          <t>-257.0</t>
        </is>
      </c>
      <c r="M7" s="15" t="inlineStr">
        <is>
          <t>-771</t>
        </is>
      </c>
      <c r="N7" s="15" t="inlineStr">
        <is>
          <t>257.0</t>
        </is>
      </c>
    </row>
    <row r="8" ht="22" customHeight="1">
      <c r="A8" s="14" t="inlineStr">
        <is>
          <t>3 - Sep 26</t>
        </is>
      </c>
      <c r="B8" s="15" t="inlineStr">
        <is>
          <t>F1 Coming Soon</t>
        </is>
      </c>
      <c r="C8" s="15" t="n">
        <v>600</v>
      </c>
      <c r="D8" s="15" t="n">
        <v>0</v>
      </c>
      <c r="E8" s="15" t="n">
        <v>0</v>
      </c>
      <c r="F8" s="15" t="n">
        <v>0</v>
      </c>
      <c r="G8" s="15" t="n">
        <v>0</v>
      </c>
      <c r="H8" s="15" t="inlineStr">
        <is>
          <t>0.0</t>
        </is>
      </c>
      <c r="I8" s="15" t="inlineStr">
        <is>
          <t>0.0</t>
        </is>
      </c>
      <c r="J8" s="15" t="inlineStr">
        <is>
          <t>0.0</t>
        </is>
      </c>
      <c r="K8" s="15" t="n">
        <v>257</v>
      </c>
      <c r="L8" s="16" t="inlineStr">
        <is>
          <t>-257.0</t>
        </is>
      </c>
      <c r="M8" s="15" t="inlineStr">
        <is>
          <t>-1028</t>
        </is>
      </c>
      <c r="N8" s="15" t="inlineStr">
        <is>
          <t>257.0</t>
        </is>
      </c>
    </row>
    <row r="9" ht="22" customHeight="1">
      <c r="A9" s="17" t="inlineStr">
        <is>
          <t>4 - Oct 26</t>
        </is>
      </c>
      <c r="B9" s="18" t="inlineStr">
        <is>
          <t>F2 Soft Launch</t>
        </is>
      </c>
      <c r="C9" s="18" t="n">
        <v>800</v>
      </c>
      <c r="D9" s="18" t="n">
        <v>24</v>
      </c>
      <c r="E9" s="18" t="n">
        <v>12</v>
      </c>
      <c r="F9" s="18" t="n">
        <v>2.2</v>
      </c>
      <c r="G9" s="18" t="n">
        <v>0</v>
      </c>
      <c r="H9" s="18" t="inlineStr">
        <is>
          <t>2.2</t>
        </is>
      </c>
      <c r="I9" s="18" t="inlineStr">
        <is>
          <t>26.4</t>
        </is>
      </c>
      <c r="J9" s="18" t="inlineStr">
        <is>
          <t>15.7</t>
        </is>
      </c>
      <c r="K9" s="18" t="n">
        <v>257</v>
      </c>
      <c r="L9" s="16" t="inlineStr">
        <is>
          <t>-246.3</t>
        </is>
      </c>
      <c r="M9" s="18" t="inlineStr">
        <is>
          <t>-1274</t>
        </is>
      </c>
      <c r="N9" s="18" t="inlineStr">
        <is>
          <t>246.3</t>
        </is>
      </c>
    </row>
    <row r="10" ht="22" customHeight="1">
      <c r="A10" s="17" t="inlineStr">
        <is>
          <t>5 - Nov 26</t>
        </is>
      </c>
      <c r="B10" s="18" t="inlineStr">
        <is>
          <t>F2 Soft Launch</t>
        </is>
      </c>
      <c r="C10" s="18" t="n">
        <v>1100</v>
      </c>
      <c r="D10" s="18" t="n">
        <v>33</v>
      </c>
      <c r="E10" s="18" t="n">
        <v>17</v>
      </c>
      <c r="F10" s="18" t="n">
        <v>3</v>
      </c>
      <c r="G10" s="18" t="n">
        <v>15</v>
      </c>
      <c r="H10" s="18" t="inlineStr">
        <is>
          <t>4.2</t>
        </is>
      </c>
      <c r="I10" s="18" t="inlineStr">
        <is>
          <t>51.0</t>
        </is>
      </c>
      <c r="J10" s="18" t="inlineStr">
        <is>
          <t>25.5</t>
        </is>
      </c>
      <c r="K10" s="18" t="n">
        <v>257</v>
      </c>
      <c r="L10" s="16" t="inlineStr">
        <is>
          <t>-231.5</t>
        </is>
      </c>
      <c r="M10" s="18" t="inlineStr">
        <is>
          <t>-1506</t>
        </is>
      </c>
      <c r="N10" s="18" t="inlineStr">
        <is>
          <t>231.5</t>
        </is>
      </c>
    </row>
    <row r="11" ht="22" customHeight="1">
      <c r="A11" s="17" t="inlineStr">
        <is>
          <t>6 - Dic 26</t>
        </is>
      </c>
      <c r="B11" s="18" t="inlineStr">
        <is>
          <t>F2 Soft Launch</t>
        </is>
      </c>
      <c r="C11" s="18" t="n">
        <v>1500</v>
      </c>
      <c r="D11" s="18" t="n">
        <v>45</v>
      </c>
      <c r="E11" s="18" t="n">
        <v>23</v>
      </c>
      <c r="F11" s="18" t="n">
        <v>4.1</v>
      </c>
      <c r="G11" s="18" t="n">
        <v>35</v>
      </c>
      <c r="H11" s="18" t="inlineStr">
        <is>
          <t>7.0</t>
        </is>
      </c>
      <c r="I11" s="18" t="inlineStr">
        <is>
          <t>84.2</t>
        </is>
      </c>
      <c r="J11" s="18" t="inlineStr">
        <is>
          <t>38.6</t>
        </is>
      </c>
      <c r="K11" s="18" t="n">
        <v>257</v>
      </c>
      <c r="L11" s="16" t="inlineStr">
        <is>
          <t>-211.4</t>
        </is>
      </c>
      <c r="M11" s="18" t="inlineStr">
        <is>
          <t>-1717</t>
        </is>
      </c>
      <c r="N11" s="18" t="inlineStr">
        <is>
          <t>211.4</t>
        </is>
      </c>
    </row>
    <row r="12" ht="22" customHeight="1">
      <c r="A12" s="19" t="inlineStr">
        <is>
          <t>7 - Ene 27</t>
        </is>
      </c>
      <c r="B12" s="20" t="inlineStr">
        <is>
          <t>F3 Live</t>
        </is>
      </c>
      <c r="C12" s="20" t="n">
        <v>1800</v>
      </c>
      <c r="D12" s="20" t="n">
        <v>54</v>
      </c>
      <c r="E12" s="20" t="n">
        <v>27</v>
      </c>
      <c r="F12" s="20" t="n">
        <v>4.9</v>
      </c>
      <c r="G12" s="20" t="n">
        <v>60</v>
      </c>
      <c r="H12" s="20" t="inlineStr">
        <is>
          <t>9.9</t>
        </is>
      </c>
      <c r="I12" s="20" t="inlineStr">
        <is>
          <t>118.8</t>
        </is>
      </c>
      <c r="J12" s="20" t="inlineStr">
        <is>
          <t>50.9</t>
        </is>
      </c>
      <c r="K12" s="20" t="n">
        <v>257</v>
      </c>
      <c r="L12" s="16" t="inlineStr">
        <is>
          <t>-189.1</t>
        </is>
      </c>
      <c r="M12" s="20" t="inlineStr">
        <is>
          <t>-1906</t>
        </is>
      </c>
      <c r="N12" s="20" t="inlineStr">
        <is>
          <t>189.1</t>
        </is>
      </c>
    </row>
    <row r="13" ht="22" customHeight="1">
      <c r="A13" s="19" t="inlineStr">
        <is>
          <t>8 - Feb 27</t>
        </is>
      </c>
      <c r="B13" s="20" t="inlineStr">
        <is>
          <t>F3 Live</t>
        </is>
      </c>
      <c r="C13" s="20" t="n">
        <v>2200</v>
      </c>
      <c r="D13" s="20" t="n">
        <v>66</v>
      </c>
      <c r="E13" s="20" t="n">
        <v>33</v>
      </c>
      <c r="F13" s="20" t="n">
        <v>5.9</v>
      </c>
      <c r="G13" s="20" t="n">
        <v>90</v>
      </c>
      <c r="H13" s="20" t="inlineStr">
        <is>
          <t>13.4</t>
        </is>
      </c>
      <c r="I13" s="20" t="inlineStr">
        <is>
          <t>160.8</t>
        </is>
      </c>
      <c r="J13" s="20" t="inlineStr">
        <is>
          <t>66.3</t>
        </is>
      </c>
      <c r="K13" s="20" t="n">
        <v>257</v>
      </c>
      <c r="L13" s="16" t="inlineStr">
        <is>
          <t>-162.5</t>
        </is>
      </c>
      <c r="M13" s="20" t="inlineStr">
        <is>
          <t>-2069</t>
        </is>
      </c>
      <c r="N13" s="20" t="inlineStr">
        <is>
          <t>162.5</t>
        </is>
      </c>
    </row>
    <row r="14" ht="22" customHeight="1">
      <c r="A14" s="19" t="inlineStr">
        <is>
          <t>9 - Mar 27</t>
        </is>
      </c>
      <c r="B14" s="20" t="inlineStr">
        <is>
          <t>F3 Live</t>
        </is>
      </c>
      <c r="C14" s="20" t="n">
        <v>3000</v>
      </c>
      <c r="D14" s="20" t="n">
        <v>90</v>
      </c>
      <c r="E14" s="20" t="n">
        <v>45</v>
      </c>
      <c r="F14" s="20" t="n">
        <v>8.1</v>
      </c>
      <c r="G14" s="20" t="n">
        <v>130</v>
      </c>
      <c r="H14" s="20" t="inlineStr">
        <is>
          <t>18.9</t>
        </is>
      </c>
      <c r="I14" s="20" t="inlineStr">
        <is>
          <t>227.2</t>
        </is>
      </c>
      <c r="J14" s="20" t="inlineStr">
        <is>
          <t>92.5</t>
        </is>
      </c>
      <c r="K14" s="20" t="n">
        <v>257</v>
      </c>
      <c r="L14" s="16" t="inlineStr">
        <is>
          <t>-122.3</t>
        </is>
      </c>
      <c r="M14" s="20" t="inlineStr">
        <is>
          <t>-2191</t>
        </is>
      </c>
      <c r="N14" s="20" t="inlineStr">
        <is>
          <t>122.3</t>
        </is>
      </c>
    </row>
    <row r="15" ht="22" customHeight="1">
      <c r="A15" s="19" t="inlineStr">
        <is>
          <t>10 - Abr 27</t>
        </is>
      </c>
      <c r="B15" s="20" t="inlineStr">
        <is>
          <t>F3 Live</t>
        </is>
      </c>
      <c r="C15" s="20" t="n">
        <v>3500</v>
      </c>
      <c r="D15" s="20" t="n">
        <v>105</v>
      </c>
      <c r="E15" s="20" t="n">
        <v>53</v>
      </c>
      <c r="F15" s="20" t="n">
        <v>9.5</v>
      </c>
      <c r="G15" s="20" t="n">
        <v>180</v>
      </c>
      <c r="H15" s="20" t="inlineStr">
        <is>
          <t>24.5</t>
        </is>
      </c>
      <c r="I15" s="20" t="inlineStr">
        <is>
          <t>294.0</t>
        </is>
      </c>
      <c r="J15" s="20" t="inlineStr">
        <is>
          <t>115.6</t>
        </is>
      </c>
      <c r="K15" s="20" t="n">
        <v>257</v>
      </c>
      <c r="L15" s="16" t="inlineStr">
        <is>
          <t>-78.6</t>
        </is>
      </c>
      <c r="M15" s="20" t="inlineStr">
        <is>
          <t>-2270</t>
        </is>
      </c>
      <c r="N15" s="20" t="inlineStr">
        <is>
          <t>78.6</t>
        </is>
      </c>
    </row>
    <row r="16" ht="22" customHeight="1">
      <c r="A16" s="19" t="inlineStr">
        <is>
          <t>11 - May 27</t>
        </is>
      </c>
      <c r="B16" s="20" t="inlineStr">
        <is>
          <t>F3 Live</t>
        </is>
      </c>
      <c r="C16" s="20" t="n">
        <v>4200</v>
      </c>
      <c r="D16" s="20" t="n">
        <v>126</v>
      </c>
      <c r="E16" s="20" t="n">
        <v>63</v>
      </c>
      <c r="F16" s="20" t="n">
        <v>11.3</v>
      </c>
      <c r="G16" s="20" t="n">
        <v>240</v>
      </c>
      <c r="H16" s="20" t="inlineStr">
        <is>
          <t>31.3</t>
        </is>
      </c>
      <c r="I16" s="20" t="inlineStr">
        <is>
          <t>375.6</t>
        </is>
      </c>
      <c r="J16" s="20" t="inlineStr">
        <is>
          <t>144.6</t>
        </is>
      </c>
      <c r="K16" s="20" t="n">
        <v>257</v>
      </c>
      <c r="L16" s="16" t="inlineStr">
        <is>
          <t>-26.0</t>
        </is>
      </c>
      <c r="M16" s="20" t="inlineStr">
        <is>
          <t>-2296</t>
        </is>
      </c>
      <c r="N16" s="20" t="inlineStr">
        <is>
          <t>26.0</t>
        </is>
      </c>
    </row>
    <row r="17" ht="22" customHeight="1">
      <c r="A17" s="19" t="inlineStr">
        <is>
          <t>12 - Jun 27</t>
        </is>
      </c>
      <c r="B17" s="20" t="inlineStr">
        <is>
          <t>F3 Live</t>
        </is>
      </c>
      <c r="C17" s="20" t="n">
        <v>5000</v>
      </c>
      <c r="D17" s="20" t="n">
        <v>150</v>
      </c>
      <c r="E17" s="20" t="n">
        <v>75</v>
      </c>
      <c r="F17" s="20" t="n">
        <v>13.5</v>
      </c>
      <c r="G17" s="20" t="n">
        <v>310</v>
      </c>
      <c r="H17" s="20" t="inlineStr">
        <is>
          <t>39.3</t>
        </is>
      </c>
      <c r="I17" s="20" t="inlineStr">
        <is>
          <t>472.0</t>
        </is>
      </c>
      <c r="J17" s="20" t="inlineStr">
        <is>
          <t>178.6</t>
        </is>
      </c>
      <c r="K17" s="20" t="n">
        <v>257</v>
      </c>
      <c r="L17" s="26" t="inlineStr">
        <is>
          <t>36.3</t>
        </is>
      </c>
      <c r="M17" s="20" t="inlineStr">
        <is>
          <t>-2259</t>
        </is>
      </c>
      <c r="N17" s="20" t="inlineStr">
        <is>
          <t>0.0</t>
        </is>
      </c>
    </row>
    <row r="18" ht="22" customHeight="1">
      <c r="A18" s="21" t="inlineStr">
        <is>
          <t>13 - Jul 27</t>
        </is>
      </c>
      <c r="B18" s="22" t="inlineStr">
        <is>
          <t>F4 Crecimiento</t>
        </is>
      </c>
      <c r="C18" s="22" t="n">
        <v>6000</v>
      </c>
      <c r="D18" s="22" t="n">
        <v>180</v>
      </c>
      <c r="E18" s="22" t="n">
        <v>90</v>
      </c>
      <c r="F18" s="22" t="n">
        <v>16.2</v>
      </c>
      <c r="G18" s="22" t="n">
        <v>395</v>
      </c>
      <c r="H18" s="22" t="inlineStr">
        <is>
          <t>49.1</t>
        </is>
      </c>
      <c r="I18" s="22" t="inlineStr">
        <is>
          <t>589.4</t>
        </is>
      </c>
      <c r="J18" s="22" t="inlineStr">
        <is>
          <t>220.4</t>
        </is>
      </c>
      <c r="K18" s="22" t="n">
        <v>257</v>
      </c>
      <c r="L18" s="26" t="inlineStr">
        <is>
          <t>112.0</t>
        </is>
      </c>
      <c r="M18" s="22" t="inlineStr">
        <is>
          <t>-2147</t>
        </is>
      </c>
      <c r="N18" s="22" t="inlineStr">
        <is>
          <t>0.0</t>
        </is>
      </c>
    </row>
    <row r="19" ht="22" customHeight="1">
      <c r="A19" s="21" t="inlineStr">
        <is>
          <t>14 - Ago 27</t>
        </is>
      </c>
      <c r="B19" s="22" t="inlineStr">
        <is>
          <t>F4 Crecimiento</t>
        </is>
      </c>
      <c r="C19" s="22" t="n">
        <v>7500</v>
      </c>
      <c r="D19" s="22" t="n">
        <v>225</v>
      </c>
      <c r="E19" s="22" t="n">
        <v>112</v>
      </c>
      <c r="F19" s="22" t="n">
        <v>20.2</v>
      </c>
      <c r="G19" s="22" t="n">
        <v>495</v>
      </c>
      <c r="H19" s="22" t="inlineStr">
        <is>
          <t>61.5</t>
        </is>
      </c>
      <c r="I19" s="22" t="inlineStr">
        <is>
          <t>737.4</t>
        </is>
      </c>
      <c r="J19" s="22" t="inlineStr">
        <is>
          <t>275.6</t>
        </is>
      </c>
      <c r="K19" s="22" t="n">
        <v>257</v>
      </c>
      <c r="L19" s="26" t="inlineStr">
        <is>
          <t>204.8</t>
        </is>
      </c>
      <c r="M19" s="22" t="inlineStr">
        <is>
          <t>-1943</t>
        </is>
      </c>
      <c r="N19" s="22" t="inlineStr">
        <is>
          <t>0.0</t>
        </is>
      </c>
    </row>
    <row r="20" ht="22" customHeight="1">
      <c r="A20" s="21" t="inlineStr">
        <is>
          <t>15 - Sep 27</t>
        </is>
      </c>
      <c r="B20" s="22" t="inlineStr">
        <is>
          <t>F4 Crecimiento</t>
        </is>
      </c>
      <c r="C20" s="22" t="n">
        <v>9000</v>
      </c>
      <c r="D20" s="22" t="n">
        <v>270</v>
      </c>
      <c r="E20" s="22" t="n">
        <v>135</v>
      </c>
      <c r="F20" s="22" t="n">
        <v>24.3</v>
      </c>
      <c r="G20" s="22" t="n">
        <v>615</v>
      </c>
      <c r="H20" s="22" t="inlineStr">
        <is>
          <t>75.5</t>
        </is>
      </c>
      <c r="I20" s="22" t="inlineStr">
        <is>
          <t>906.6</t>
        </is>
      </c>
      <c r="J20" s="22" t="inlineStr">
        <is>
          <t>336.5</t>
        </is>
      </c>
      <c r="K20" s="22" t="n">
        <v>257</v>
      </c>
      <c r="L20" s="26" t="inlineStr">
        <is>
          <t>313.1</t>
        </is>
      </c>
      <c r="M20" s="22" t="inlineStr">
        <is>
          <t>-1629</t>
        </is>
      </c>
      <c r="N20" s="22" t="inlineStr">
        <is>
          <t>0.0</t>
        </is>
      </c>
    </row>
    <row r="21" ht="22" customHeight="1">
      <c r="A21" s="21" t="inlineStr">
        <is>
          <t>16 - Oct 27</t>
        </is>
      </c>
      <c r="B21" s="22" t="inlineStr">
        <is>
          <t>F4 Crecimiento</t>
        </is>
      </c>
      <c r="C21" s="22" t="n">
        <v>10000</v>
      </c>
      <c r="D21" s="22" t="n">
        <v>300</v>
      </c>
      <c r="E21" s="22" t="n">
        <v>150</v>
      </c>
      <c r="F21" s="22" t="n">
        <v>27</v>
      </c>
      <c r="G21" s="22" t="n">
        <v>750</v>
      </c>
      <c r="H21" s="22" t="inlineStr">
        <is>
          <t>89.5</t>
        </is>
      </c>
      <c r="I21" s="22" t="inlineStr">
        <is>
          <t>1074.0</t>
        </is>
      </c>
      <c r="J21" s="22" t="inlineStr">
        <is>
          <t>391.4</t>
        </is>
      </c>
      <c r="K21" s="22" t="n">
        <v>257</v>
      </c>
      <c r="L21" s="26" t="inlineStr">
        <is>
          <t>425.6</t>
        </is>
      </c>
      <c r="M21" s="22" t="inlineStr">
        <is>
          <t>-1204</t>
        </is>
      </c>
      <c r="N21" s="22" t="inlineStr">
        <is>
          <t>0.0</t>
        </is>
      </c>
    </row>
    <row r="22" ht="22" customHeight="1">
      <c r="A22" s="21" t="inlineStr">
        <is>
          <t>17 - Nov 27</t>
        </is>
      </c>
      <c r="B22" s="22" t="inlineStr">
        <is>
          <t>F4 Crecimiento</t>
        </is>
      </c>
      <c r="C22" s="22" t="n">
        <v>11000</v>
      </c>
      <c r="D22" s="22" t="n">
        <v>330</v>
      </c>
      <c r="E22" s="22" t="n">
        <v>165</v>
      </c>
      <c r="F22" s="22" t="n">
        <v>29.7</v>
      </c>
      <c r="G22" s="22" t="n">
        <v>900</v>
      </c>
      <c r="H22" s="22" t="inlineStr">
        <is>
          <t>104.7</t>
        </is>
      </c>
      <c r="I22" s="22" t="inlineStr">
        <is>
          <t>1256.4</t>
        </is>
      </c>
      <c r="J22" s="22" t="inlineStr">
        <is>
          <t>450.3</t>
        </is>
      </c>
      <c r="K22" s="22" t="n">
        <v>257</v>
      </c>
      <c r="L22" s="26" t="inlineStr">
        <is>
          <t>549.1</t>
        </is>
      </c>
      <c r="M22" s="22" t="inlineStr">
        <is>
          <t>-655</t>
        </is>
      </c>
      <c r="N22" s="22" t="inlineStr">
        <is>
          <t>0.0</t>
        </is>
      </c>
    </row>
    <row r="23" ht="22" customHeight="1">
      <c r="A23" s="21" t="inlineStr">
        <is>
          <t>18 - Dic 27</t>
        </is>
      </c>
      <c r="B23" s="22" t="inlineStr">
        <is>
          <t>F4 Crecimiento</t>
        </is>
      </c>
      <c r="C23" s="22" t="n">
        <v>12000</v>
      </c>
      <c r="D23" s="22" t="n">
        <v>360</v>
      </c>
      <c r="E23" s="22" t="n">
        <v>180</v>
      </c>
      <c r="F23" s="22" t="n">
        <v>32.4</v>
      </c>
      <c r="G23" s="22" t="n">
        <v>1060</v>
      </c>
      <c r="H23" s="22" t="inlineStr">
        <is>
          <t>120.7</t>
        </is>
      </c>
      <c r="I23" s="22" t="inlineStr">
        <is>
          <t>1448.8</t>
        </is>
      </c>
      <c r="J23" s="22" t="inlineStr">
        <is>
          <t>511.7</t>
        </is>
      </c>
      <c r="K23" s="22" t="n">
        <v>257</v>
      </c>
      <c r="L23" s="26" t="inlineStr">
        <is>
          <t>680.1</t>
        </is>
      </c>
      <c r="M23" s="22" t="inlineStr">
        <is>
          <t>25</t>
        </is>
      </c>
      <c r="N23" s="22" t="inlineStr">
        <is>
          <t>0.0</t>
        </is>
      </c>
    </row>
    <row r="24" ht="26" customHeight="1">
      <c r="A24" s="23" t="inlineStr">
        <is>
          <t>TOTAL 19 meses</t>
        </is>
      </c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7" t="inlineStr">
        <is>
          <t>25</t>
        </is>
      </c>
      <c r="M24" s="24" t="n"/>
      <c r="N24" s="24" t="n"/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55" customWidth="1" min="3" max="3"/>
  </cols>
  <sheetData>
    <row r="1" ht="30" customHeight="1">
      <c r="A1" s="1" t="inlineStr">
        <is>
          <t>Supuestos del modelo financiero</t>
        </is>
      </c>
    </row>
    <row r="3" ht="28" customHeight="1">
      <c r="A3" s="3" t="inlineStr">
        <is>
          <t>CATEGORÍA</t>
        </is>
      </c>
      <c r="B3" s="3" t="inlineStr">
        <is>
          <t>VALOR</t>
        </is>
      </c>
      <c r="C3" s="3" t="inlineStr">
        <is>
          <t>FUENTE / NOTA</t>
        </is>
      </c>
    </row>
    <row r="4" ht="20" customHeight="1">
      <c r="A4" s="28" t="inlineStr"/>
      <c r="B4" s="28" t="inlineStr"/>
      <c r="C4" s="28" t="inlineStr"/>
    </row>
    <row r="5" ht="28" customHeight="1">
      <c r="A5" s="29">
        <f>== COSTES FIJOS ===</f>
        <v/>
      </c>
      <c r="B5" s="29" t="inlineStr"/>
      <c r="C5" s="29" t="inlineStr"/>
    </row>
    <row r="6" ht="20" customHeight="1">
      <c r="A6" s="28" t="inlineStr">
        <is>
          <t>AWS (TEST + AUDIT + PROD)</t>
        </is>
      </c>
      <c r="B6" s="28" t="inlineStr">
        <is>
          <t>€120/mes</t>
        </is>
      </c>
      <c r="C6" s="28" t="inlineStr">
        <is>
          <t>Aproximado proporcionado por Alain. Variable según uso de entornos.</t>
        </is>
      </c>
    </row>
    <row r="7" ht="20" customHeight="1">
      <c r="A7" s="28" t="inlineStr">
        <is>
          <t>Companio (accounting + virtual office)</t>
        </is>
      </c>
      <c r="B7" s="28" t="inlineStr">
        <is>
          <t>€110/mes</t>
        </is>
      </c>
      <c r="C7" s="28" t="inlineStr">
        <is>
          <t>Confirmado.</t>
        </is>
      </c>
    </row>
    <row r="8" ht="20" customHeight="1">
      <c r="A8" s="28" t="inlineStr">
        <is>
          <t>Sightengine live moderation (plan Starter $29)</t>
        </is>
      </c>
      <c r="B8" s="28" t="inlineStr">
        <is>
          <t>€27/mes</t>
        </is>
      </c>
      <c r="C8" s="28" t="inlineStr">
        <is>
          <t>Cubre 10.000 ops/mes incluidas. Cadencia 15s = 40 ops/sesión de 10 min. En horizonte 19 meses NO se cruza el umbral (250 sesiones/mes), por lo que el coste variable adicional es €0.</t>
        </is>
      </c>
    </row>
    <row r="9" ht="20" customHeight="1">
      <c r="A9" s="28" t="inlineStr">
        <is>
          <t>Otros gastos fijos (dominio, SaaS, herramientas)</t>
        </is>
      </c>
      <c r="B9" s="28" t="inlineStr">
        <is>
          <t>Excluidos</t>
        </is>
      </c>
      <c r="C9" s="28" t="inlineStr">
        <is>
          <t>Alain decisión: no contabilizados.</t>
        </is>
      </c>
    </row>
    <row r="10" ht="20" customHeight="1">
      <c r="A10" s="28" t="inlineStr">
        <is>
          <t>TOTAL FIJOS</t>
        </is>
      </c>
      <c r="B10" s="28" t="inlineStr">
        <is>
          <t>€257/mes</t>
        </is>
      </c>
      <c r="C10" s="28" t="inlineStr">
        <is>
          <t>(€3.083/año aprox)</t>
        </is>
      </c>
    </row>
    <row r="11" ht="20" customHeight="1">
      <c r="A11" s="28" t="inlineStr"/>
      <c r="B11" s="28" t="inlineStr"/>
      <c r="C11" s="28" t="inlineStr"/>
    </row>
    <row r="12" ht="28" customHeight="1">
      <c r="A12" s="29">
        <f>== COSTES VARIABLES POR TRANSACCIÓN ===</f>
        <v/>
      </c>
      <c r="B12" s="29" t="inlineStr"/>
      <c r="C12" s="29" t="inlineStr"/>
    </row>
    <row r="13" ht="20" customHeight="1">
      <c r="A13" s="28" t="inlineStr">
        <is>
          <t>Pack medio pesimista</t>
        </is>
      </c>
      <c r="B13" s="28" t="inlineStr">
        <is>
          <t>€10</t>
        </is>
      </c>
      <c r="C13" s="28" t="inlineStr">
        <is>
          <t>Asume todos eligen el pack más barato.</t>
        </is>
      </c>
    </row>
    <row r="14" ht="20" customHeight="1">
      <c r="A14" s="28" t="inlineStr">
        <is>
          <t>Pack medio normal</t>
        </is>
      </c>
      <c r="B14" s="28" t="inlineStr">
        <is>
          <t>€12</t>
        </is>
      </c>
      <c r="C14" s="28" t="inlineStr">
        <is>
          <t>Mix entre €10/22min y €20/22min.</t>
        </is>
      </c>
    </row>
    <row r="15" ht="20" customHeight="1">
      <c r="A15" s="28" t="inlineStr">
        <is>
          <t>Pago a la modelo (tier 5-15)</t>
        </is>
      </c>
      <c r="B15" s="28" t="inlineStr">
        <is>
          <t>€1.40/pack</t>
        </is>
      </c>
      <c r="C15" s="28" t="inlineStr">
        <is>
          <t>€0.05 primer min + 9 × €0.15 minutos siguientes.</t>
        </is>
      </c>
    </row>
    <row r="16" ht="20" customHeight="1">
      <c r="A16" s="28" t="inlineStr">
        <is>
          <t>Segpay comisión %</t>
        </is>
      </c>
      <c r="B16" s="28" t="inlineStr">
        <is>
          <t>10%</t>
        </is>
      </c>
      <c r="C16" s="28" t="inlineStr">
        <is>
          <t>Estándar sector adulto (riesgo alto). Confirmar con Segpay en contrato.</t>
        </is>
      </c>
    </row>
    <row r="17" ht="20" customHeight="1">
      <c r="A17" s="28" t="inlineStr">
        <is>
          <t>Segpay fijo por TX</t>
        </is>
      </c>
      <c r="B17" s="28" t="inlineStr">
        <is>
          <t>€0.30</t>
        </is>
      </c>
      <c r="C17" s="28" t="inlineStr">
        <is>
          <t>Estándar sector adulto.</t>
        </is>
      </c>
    </row>
    <row r="18" ht="20" customHeight="1">
      <c r="A18" s="28" t="inlineStr">
        <is>
          <t>Tasa de chargebacks</t>
        </is>
      </c>
      <c r="B18" s="28" t="inlineStr">
        <is>
          <t>1%</t>
        </is>
      </c>
      <c r="C18" s="28" t="inlineStr">
        <is>
          <t>Asumido conservador. Sector adulto puede ser 0.5-3%.</t>
        </is>
      </c>
    </row>
    <row r="19" ht="20" customHeight="1">
      <c r="A19" s="28" t="inlineStr">
        <is>
          <t>Coste por chargeback</t>
        </is>
      </c>
      <c r="B19" s="28" t="inlineStr">
        <is>
          <t>€25</t>
        </is>
      </c>
      <c r="C19" s="28" t="inlineStr">
        <is>
          <t>Estándar.</t>
        </is>
      </c>
    </row>
    <row r="20" ht="20" customHeight="1">
      <c r="A20" s="28" t="inlineStr"/>
      <c r="B20" s="28" t="inlineStr"/>
      <c r="C20" s="28" t="inlineStr"/>
    </row>
    <row r="21" ht="28" customHeight="1">
      <c r="A21" s="29">
        <f>== COSTES POR NUEVO USUARIO ===</f>
        <v/>
      </c>
      <c r="B21" s="29" t="inlineStr"/>
      <c r="C21" s="29" t="inlineStr"/>
    </row>
    <row r="22" ht="20" customHeight="1">
      <c r="A22" s="28" t="inlineStr">
        <is>
          <t>Didit cliente verificado</t>
        </is>
      </c>
      <c r="B22" s="28" t="inlineStr">
        <is>
          <t>€0.13</t>
        </is>
      </c>
      <c r="C22" s="28" t="inlineStr">
        <is>
          <t>Ponderado: 95% Age Estimation directa ($0.13) + 5% fallback documental ($0.28). Una vez por cliente, no recurrente.</t>
        </is>
      </c>
    </row>
    <row r="23" ht="20" customHeight="1">
      <c r="A23" s="28" t="inlineStr">
        <is>
          <t>Didit modelo verificada</t>
        </is>
      </c>
      <c r="B23" s="28" t="inlineStr">
        <is>
          <t>€0 (free tier)</t>
        </is>
      </c>
      <c r="C23" s="28" t="inlineStr">
        <is>
          <t>500 gratis/mes. En horizonte 18m con 5 modelos/mes nuevas (~90 total) no superamos el free tier.</t>
        </is>
      </c>
    </row>
    <row r="24" ht="20" customHeight="1">
      <c r="A24" s="28" t="inlineStr">
        <is>
          <t>Demo gratis absorbida (por signup)</t>
        </is>
      </c>
      <c r="B24" s="28" t="inlineStr">
        <is>
          <t>€0.30</t>
        </is>
      </c>
      <c r="C24" s="28" t="inlineStr">
        <is>
          <t>9 min máx primer día × €0.05-0.09 ponderado. Es lo que cuesta a la plataforma cada usuario que se registra y prueba sin convertir.</t>
        </is>
      </c>
    </row>
    <row r="25" ht="20" customHeight="1">
      <c r="A25" s="28" t="inlineStr"/>
      <c r="B25" s="28" t="inlineStr"/>
      <c r="C25" s="28" t="inlineStr"/>
    </row>
    <row r="26" ht="28" customHeight="1">
      <c r="A26" s="29">
        <f>== SUPUESTOS DEL PLAN SEO (del doc estrategia) ===</f>
        <v/>
      </c>
      <c r="B26" s="29" t="inlineStr"/>
      <c r="C26" s="29" t="inlineStr"/>
    </row>
    <row r="27" ht="20" customHeight="1">
      <c r="A27" s="28" t="inlineStr">
        <is>
          <t>Conversion sesión → signup pesimista</t>
        </is>
      </c>
      <c r="B27" s="28" t="inlineStr">
        <is>
          <t>1%</t>
        </is>
      </c>
      <c r="C27" s="28" t="inlineStr">
        <is>
          <t>Conservador adulto.</t>
        </is>
      </c>
    </row>
    <row r="28" ht="20" customHeight="1">
      <c r="A28" s="28" t="inlineStr">
        <is>
          <t>Conversion sesión → signup normal</t>
        </is>
      </c>
      <c r="B28" s="28" t="inlineStr">
        <is>
          <t>3%</t>
        </is>
      </c>
      <c r="C28" s="28" t="inlineStr">
        <is>
          <t>Realista adulto bien hecho.</t>
        </is>
      </c>
    </row>
    <row r="29" ht="20" customHeight="1">
      <c r="A29" s="28" t="inlineStr">
        <is>
          <t>Conversion signup → verificado</t>
        </is>
      </c>
      <c r="B29" s="28" t="inlineStr">
        <is>
          <t>30% / 50%</t>
        </is>
      </c>
      <c r="C29" s="28" t="inlineStr">
        <is>
          <t>KYC adulto es barrera. P / N.</t>
        </is>
      </c>
    </row>
    <row r="30" ht="20" customHeight="1">
      <c r="A30" s="28" t="inlineStr">
        <is>
          <t>Conversion verificado → 1ª compra</t>
        </is>
      </c>
      <c r="B30" s="28" t="inlineStr">
        <is>
          <t>10% / 18%</t>
        </is>
      </c>
      <c r="C30" s="28" t="inlineStr">
        <is>
          <t>P / N.</t>
        </is>
      </c>
    </row>
    <row r="31" ht="20" customHeight="1">
      <c r="A31" s="28" t="inlineStr">
        <is>
          <t>LTV (compras totales por cliente en 12m)</t>
        </is>
      </c>
      <c r="B31" s="28" t="inlineStr">
        <is>
          <t>1.2 / 2.5</t>
        </is>
      </c>
      <c r="C31" s="28" t="inlineStr">
        <is>
          <t>P / N. Repeat rate aplicado.</t>
        </is>
      </c>
    </row>
    <row r="32" ht="20" customHeight="1">
      <c r="A32" s="28" t="inlineStr"/>
      <c r="B32" s="28" t="inlineStr"/>
      <c r="C32" s="28" t="inlineStr"/>
    </row>
    <row r="33" ht="28" customHeight="1">
      <c r="A33" s="29">
        <f>== FASES TEMPORALES ===</f>
        <v/>
      </c>
      <c r="B33" s="29" t="inlineStr"/>
      <c r="C33" s="29" t="inlineStr"/>
    </row>
    <row r="34" ht="20" customHeight="1">
      <c r="A34" s="28" t="inlineStr">
        <is>
          <t>F1 Coming Soon</t>
        </is>
      </c>
      <c r="B34" s="28" t="inlineStr">
        <is>
          <t>Mes 0-3 (jun-sep 2026)</t>
        </is>
      </c>
      <c r="C34" s="28" t="inlineStr">
        <is>
          <t>Producto NO operacional. Tráfico no convierte.</t>
        </is>
      </c>
    </row>
    <row r="35" ht="20" customHeight="1">
      <c r="A35" s="28" t="inlineStr">
        <is>
          <t>F2 Soft Launch</t>
        </is>
      </c>
      <c r="B35" s="28" t="inlineStr">
        <is>
          <t>Mes 4-6 (oct-dic 2026)</t>
        </is>
      </c>
      <c r="C35" s="28" t="inlineStr">
        <is>
          <t>Producto operacional + Segpay activo. Primeras compras posibles.</t>
        </is>
      </c>
    </row>
    <row r="36" ht="20" customHeight="1">
      <c r="A36" s="28" t="inlineStr">
        <is>
          <t>F3 Live público</t>
        </is>
      </c>
      <c r="B36" s="28" t="inlineStr">
        <is>
          <t>Mes 7-12 (ene-jun 2027)</t>
        </is>
      </c>
      <c r="C36" s="28" t="inlineStr">
        <is>
          <t>Producto open, efectos compuestos del SEO empiezan.</t>
        </is>
      </c>
    </row>
    <row r="37" ht="20" customHeight="1">
      <c r="A37" s="28" t="inlineStr">
        <is>
          <t>F4 Crecimiento</t>
        </is>
      </c>
      <c r="B37" s="28" t="inlineStr">
        <is>
          <t>Mes 13-18 (jul-dic 2027)</t>
        </is>
      </c>
      <c r="C37" s="28" t="inlineStr">
        <is>
          <t>Long-tail SEO funcionando si todo va bien.</t>
        </is>
      </c>
    </row>
    <row r="38" ht="20" customHeight="1">
      <c r="A38" s="28" t="inlineStr"/>
      <c r="B38" s="28" t="inlineStr"/>
      <c r="C38" s="28" t="inlineStr"/>
    </row>
    <row r="39" ht="28" customHeight="1">
      <c r="A39" s="29">
        <f>== CAPITAL Y ESTRATEGIA FINANCIERA ===</f>
        <v/>
      </c>
      <c r="B39" s="29" t="inlineStr"/>
      <c r="C39" s="29" t="inlineStr"/>
    </row>
    <row r="40" ht="20" customHeight="1">
      <c r="A40" s="28" t="inlineStr">
        <is>
          <t>Capital inicial disponible</t>
        </is>
      </c>
      <c r="B40" s="28" t="inlineStr">
        <is>
          <t>€0</t>
        </is>
      </c>
      <c r="C40" s="28" t="inlineStr">
        <is>
          <t>Alain cubre gastos personalmente con nómina externa.</t>
        </is>
      </c>
    </row>
    <row r="41" ht="20" customHeight="1">
      <c r="A41" s="28" t="inlineStr">
        <is>
          <t>Break-even</t>
        </is>
      </c>
      <c r="B41" s="28" t="inlineStr">
        <is>
          <t>No alcanzado en 18m (pesimista)</t>
        </is>
      </c>
      <c r="C41" s="28" t="inlineStr">
        <is>
          <t>Mes 15-16 (normal). Necesidad de palancas adicionales identificada.</t>
        </is>
      </c>
    </row>
    <row r="42" ht="20" customHeight="1">
      <c r="A42" s="28" t="inlineStr"/>
      <c r="B42" s="28" t="inlineStr"/>
      <c r="C42" s="28" t="inlineStr"/>
    </row>
    <row r="43" ht="28" customHeight="1">
      <c r="A43" s="29">
        <f>== LO QUE ESTE MODELO NO INCLUYE ===</f>
        <v/>
      </c>
      <c r="B43" s="29" t="inlineStr"/>
      <c r="C43" s="29" t="inlineStr"/>
    </row>
    <row r="44" ht="20" customHeight="1">
      <c r="A44" s="28" t="inlineStr">
        <is>
          <t>Paid traffic (TrafficJunky, ExoClick)</t>
        </is>
      </c>
      <c r="B44" s="28" t="inlineStr">
        <is>
          <t>Excluido</t>
        </is>
      </c>
      <c r="C44" s="28" t="inlineStr">
        <is>
          <t>Si se incorpora entre mes 6-12, acelera break-even pero suma coste mensual €200-500.</t>
        </is>
      </c>
    </row>
    <row r="45" ht="20" customHeight="1">
      <c r="A45" s="28" t="inlineStr">
        <is>
          <t>PR sector (XBIZ, YNOT, AVN)</t>
        </is>
      </c>
      <c r="B45" s="28" t="inlineStr">
        <is>
          <t>Excluido</t>
        </is>
      </c>
      <c r="C45" s="28" t="inlineStr">
        <is>
          <t>Coste tiempo Alain principalmente. Sin impacto monetario directo.</t>
        </is>
      </c>
    </row>
    <row r="46" ht="20" customHeight="1">
      <c r="A46" s="28" t="inlineStr">
        <is>
          <t>Programa affiliates / partnerships</t>
        </is>
      </c>
      <c r="B46" s="28" t="inlineStr">
        <is>
          <t>Excluido</t>
        </is>
      </c>
      <c r="C46" s="28" t="inlineStr">
        <is>
          <t>Si se incorpora, suma % revenue compartido (5-15%).</t>
        </is>
      </c>
    </row>
    <row r="47" ht="20" customHeight="1">
      <c r="A47" s="28" t="inlineStr">
        <is>
          <t>Costes legales adicionales</t>
        </is>
      </c>
      <c r="B47" s="28" t="inlineStr">
        <is>
          <t>Excluido</t>
        </is>
      </c>
      <c r="C47" s="28" t="inlineStr">
        <is>
          <t>Confiamos en Companio + ADRs internos.</t>
        </is>
      </c>
    </row>
    <row r="48" ht="20" customHeight="1">
      <c r="A48" s="28" t="inlineStr">
        <is>
          <t>Stripe / pasarelas backup</t>
        </is>
      </c>
      <c r="B48" s="28" t="inlineStr">
        <is>
          <t>Excluido</t>
        </is>
      </c>
      <c r="C48" s="28" t="inlineStr">
        <is>
          <t>Solo Segpay como PSP único.</t>
        </is>
      </c>
    </row>
    <row r="49" ht="20" customHeight="1">
      <c r="A49" s="28" t="inlineStr">
        <is>
          <t>Crecimiento modelos exponencial</t>
        </is>
      </c>
      <c r="B49" s="28" t="inlineStr">
        <is>
          <t>No modelado</t>
        </is>
      </c>
      <c r="C49" s="28" t="inlineStr">
        <is>
          <t>Asume 5 modelos nuevas/mes constante.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2026-06-17T21:10:01Z</dcterms:created>
  <dcterms:modified xmlns:dcterms="http://purl.org/dc/terms/" xmlns:xsi="http://www.w3.org/2001/XMLSchema-instance" xsi:type="dcterms:W3CDTF">2026-06-17T21:10:02Z</dcterms:modified>
</cp:coreProperties>
</file>